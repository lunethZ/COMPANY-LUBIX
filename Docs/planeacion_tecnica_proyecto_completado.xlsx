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ENA\Seguimiento Proyecto\"/>
    </mc:Choice>
  </mc:AlternateContent>
  <xr:revisionPtr revIDLastSave="0" documentId="13_ncr:1_{8670D975-FE13-451F-8D5C-A833039D8B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Chequeo Técnico" sheetId="1" r:id="rId1"/>
    <sheet name="Resumen y Métricas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<sst xmlns="http://schemas.openxmlformats.org/spreadsheetml/2006/main" count="77" uniqueCount="77">
  <si>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LISTA DE CHEQUEO: PLANEACIÓN TÉCNICA DE PROYECTO</t>
  </si>
  <si>
    <t>Evaluación de preparación y viabilidad tecnológica para desarrollo de software</t>
  </si>
  <si>
    <t>Categoría</t>
  </si>
  <si>
    <t>Ítem de Verificación / Criterio</t>
  </si>
  <si>
    <t>Estado</t>
  </si>
  <si>
    <t>1. Arquitectura y Diseño</t>
  </si>
  <si>
    <t>Arquitectura y Diseño</t>
  </si>
  <si>
    <t>Se documentó el diagrama de arquitectura y la interacción entre componentes principales.</t>
  </si>
  <si>
    <t>Pendiente</t>
  </si>
  <si>
    <t>Se identificaron y priorizaron los atributos de calidad (mantenibilidad, rendimiento, seguridad).</t>
  </si>
  <si>
    <t>Se establecieron las guías para aplicar patrones de diseño y principios de código limpio (SOLID, DRY, KISS).</t>
  </si>
  <si>
    <t>2. Stack Tecnológico y Datos</t>
  </si>
  <si>
    <t>Stack Tecnológico y Datos</t>
  </si>
  <si>
    <t>Se fijaron las versiones estables de lenguajes, frameworks y herramientas base.</t>
  </si>
  <si>
    <t>Se diseñó el modelo de datos preliminar (esquemas, relaciones o colecciones).</t>
  </si>
  <si>
    <t>Se analizaron las dependencias externas, servicios de terceros y restricciones de licencias.</t>
  </si>
  <si>
    <t>3. Calidad y Pruebas</t>
  </si>
  <si>
    <t>Calidad y Pruebas</t>
  </si>
  <si>
    <t>Se definió el marco de pruebas unitarias y de integración (ej. unittest, PyTest, JUnit).</t>
  </si>
  <si>
    <t>Se configuraron las herramientas de análisis estático de código y linters.</t>
  </si>
  <si>
    <t>Se acordó la estrategia de pruebas (cobertura mínima esperada, automatización).</t>
  </si>
  <si>
    <t>4. Entornos y DevOps</t>
  </si>
  <si>
    <t>Entornos y DevOps</t>
  </si>
  <si>
    <t>Se estableció la estrategia de control de versiones y ramificación en Git (Git Flow, Trunk-Based).</t>
  </si>
  <si>
    <t>Se definieron los requerimientos para los entornos de desarrollo, pruebas y producción.</t>
  </si>
  <si>
    <t>Se planificó el pipeline básico de Integración Continua (CI).</t>
  </si>
  <si>
    <t>5. Seguridad y Gestión de Riesgos</t>
  </si>
  <si>
    <t>Seguridad y Gestión de Riesgos</t>
  </si>
  <si>
    <t>Se definieron los mecanismos de autenticación, autorización y manejo de secretos.</t>
  </si>
  <si>
    <t>Se identificaron los principales cuellos de botella tecnológicos y riesgos de integración.</t>
  </si>
  <si>
    <t>Se redactó el plan de contingencia para fallas críticas en los componentes centrales.</t>
  </si>
  <si>
    <t>RESUMEN DE AVANCE DE PLANEACIÓN TÉCNICA</t>
  </si>
  <si>
    <t>Métricas de cumplimiento de los ítems de verificación</t>
  </si>
  <si>
    <t>Cantidad de Ítems</t>
  </si>
  <si>
    <t>Porcentaje</t>
  </si>
  <si>
    <t>Completado</t>
  </si>
  <si>
    <t>En Proceso</t>
  </si>
  <si>
    <t>No Aplica</t>
  </si>
  <si>
    <t>Total Ítems</t>
  </si>
  <si>
    <t>Nombre Proyecto:</t>
  </si>
  <si>
    <t>Integrantres:</t>
  </si>
  <si>
    <t>Logo</t>
  </si>
  <si>
    <t>Observaciones</t>
  </si>
  <si>
    <t>Responsable(s)</t>
  </si>
  <si>
    <t>Evidencia 
(captura de pantalla o enlace)</t>
  </si>
  <si>
    <t xml:space="preserve">LUBIX - Plataforma de Gestion Empresarial (app web y movil de autenticacion, catalogo y compra)</t>
  </si>
  <si>
    <t xml:space="preserve">Luneth Zerith (GitHub: lunethZ); Jose Andres Armenta Farias (josearmenta2163); Joahnn Nicolas (nacoooobit); Daniel (WinStormX); Yeinher Algarin (backend/pyproject.toml)</t>
  </si>
  <si>
    <t xml:space="preserve">Docs/Diagramas/Lubix_Arquitectura_del_Sistema_Normas_APA.pdf; Docs/Diagramas/Diagrama De Clases.pdf; Docs/Diagramas/Diagrama De Flujo Lubix.pdf; Docs/Diagramas/Diagrama de Procesos.pdf; docker-compose.yml; backend/app/main.py</t>
  </si>
  <si>
    <t xml:space="preserve">Diagramas de arquitectura del sistema, clases, flujo y procesos en PDF con normas APA. La interaccion entre componentes (FastAPI, React, Expo, PostgreSQL, MinIO) esta documentada y coincide con docker-compose.yml. Pendiente: alinear los puertos del README con los reales del compose (8002, 5435, 9100).</t>
  </si>
  <si>
    <t xml:space="preserve">Docs/Tabla_Calidad_Producto_Software_ISO25010.md; Docs/Plantilla_ISO_IEC_25010.md; Docs/RNFs/RNF-001 a RNF-015</t>
  </si>
  <si>
    <t xml:space="preserve">Atributos de calidad identificados y priorizados bajo la norma ISO/IEC 25010 (rendimiento, seguridad, disponibilidad, mantenibilidad, escalabilidad) y traducidos en 15 requisitos no funcionales. Recomendable socializar el orden de prioridad con el cliente/instructor.</t>
  </si>
  <si>
    <t xml:space="preserve">backend/app/ (routers/, services/, models/, schemas/, middleware/, utils/); frontend/src/ (components/, pages/, context/); mobile/src/ (screens/, navigation/, store/)</t>
  </si>
  <si>
    <t xml:space="preserve">El codigo aplica de forma practica separacion por capas (routers/services/models/schemas) y componentes reutilizables en web y movil, pero NO existe un documento de guia de patrones de diseno ni de principios de codigo limpio (SOLID, DRY, KISS). Recomendable elaborar la guia de estilo y patrones antes de escalar el equipo.</t>
  </si>
  <si>
    <t xml:space="preserve">backend/pyproject.toml (dependencias con version fija ==); frontend/package.json + pnpm-lock.yaml + package-lock.json; mobile/package.json + package-lock.json; README.md seccion 'Stack Tecnológico'</t>
  </si>
  <si>
    <t xml:space="preserve">Versiones estables fijadas y verificables: Python 3.13, FastAPI 0.135.1, SQLAlchemy 2.0.48, Alembic 1.18.4, Pydantic 2.12.5, React 19.2.6, Vite 8.0.14, TypeScript 6.0.3, Tailwind 3.4.19, PostgreSQL 16. Lockfiles presentes para frontend y movil.</t>
  </si>
  <si>
    <t xml:space="preserve">backend/app/models/ (ModelUser, ModelCompany, ModelProduct, ModelOrder, ModelCart, ModelAddress, ModelPQRS, ModelReview, ModelFavorite, ModelRole, ModelCode, ModelRefreshToken); backend/alembic/versions/ (11 migraciones); backend/app/schemas/</t>
  </si>
  <si>
    <t xml:space="preserve">Modelo de datos relacional implementado en SQLAlchemy y versionado con Alembic: migracion inicial y cambios de usuarios, empresas, productos/catalogos, carritos, ordenes, direcciones, reseñas, favoritos y PQRS. Esquemas Pydantic para validacion de la API.</t>
  </si>
  <si>
    <t xml:space="preserve">backend/pyproject.toml; backend/app/docs/AUDITORIA.md (guia pip-audit); .env.example (Gmail SMTP, MinIO, PostgreSQL); README.md secciones 'Stack Tecnológico' y 'Seguridad'</t>
  </si>
  <si>
    <t xml:space="preserve">Dependencias externas identificadas y fijadas, con guia de auditoria de vulnerabilidades (pip-audit) y servicios de terceros documentados (Gmail SMTP, MinIO, PostgreSQL Docker). Falta: inventario de licencias (LICENSE / THIRD_PARTY_NOTICES) y registro de restricciones de uso de los servicios de terceros.</t>
  </si>
  <si>
    <t xml:space="preserve">Docs/Pruebas_Unitarias.xlsx (PU-001 a PU-020 con codigo de prueba en Python); Docs/Pruebas_Integracion.txt (PI-001 a PI-020); backend/app/utils/TestDatabase.py</t>
  </si>
  <si>
    <t xml:space="preserve">El marco de pruebas esta definido en documentos: 20 casos unitarios con fragmentos de codigo ejecutable y 20 casos de integracion modulo a modulo. No hay framework automatizado instalado (pytest/unittest no figuran en pyproject.toml) y las 20 pruebas de integracion estan pendientes de ejecucion.</t>
  </si>
  <si>
    <t xml:space="preserve">frontend/eslint.config.js (ESLint + typescript-eslint + react-hooks + react-refresh); frontend/package.json (script 'lint'); frontend/tsconfig.json; tsconfig.app.json</t>
  </si>
  <si>
    <t xml:space="preserve">Herramientas de analisis estatico configuradas y ejecutables en el frontend (ESLint con pnpm run lint, TypeScript con 'tsc -b' en el build). Falta configurar linter/formatter/analizador para el backend Python (ruff, black, mypy) y ejecutarlos de forma automatica.</t>
  </si>
  <si>
    <t xml:space="preserve">Docs/Pruebas_No_Funcionales.txt (PNF-001 a PNF-020 con mapeo a RNF); Docs/Pruebas_Integracion.txt (resumen: 20 pendientes); Docs/Plantilla_ISO_IEC_25010.md; Docs/Tabla_Calidad_Producto_Software_ISO25010.md</t>
  </si>
  <si>
    <t xml:space="preserve">La estrategia de pruebas esta documentada (unitarias, integracion y no funcionales mapeadas a los RNF). Estado real: de 40 pruebas (20 PI + 20 PNF) solo 1 aprobada (PNF-019, arquitectura Docker) y 39 pendientes. No se ha fijado cobertura minima ni nivel de automatizacion; se recomienda definirlos y ejecutar el plan.</t>
  </si>
  <si>
    <t xml:space="preserve">Git: ramas main, feat/all-changes-lubix y feat/combine-web-movil (locales y en origin); README.md seccion 'Flujo de Desarrollo'; historial de commits con convenciones feat/chore/docs; .gitignore y .gitattributes en la raiz</t>
  </si>
  <si>
    <t xml:space="preserve">Estrategia de ramificacion por features (rama main + ramas feat/*) con pull requests documentada en el README y evidenciada en el historial de Git con mensajes convencionales. Recomendable proteger la rama main y exigir revision antes de fusionar.</t>
  </si>
  <si>
    <t xml:space="preserve">docker-compose.yml (servicios postgres, minio, backend, frontend, mobile); backend/Dockerfile; frontend/Dockerfile; mobile/Dockerfile; .env, .env.example, frontend/.env.example, mobile/.env.example; README.md (ENVIRONMENT=development)</t>
  </si>
  <si>
    <t xml:space="preserve">Entorno de desarrollo definido y contenedorizado con Docker Compose (5 servicios, puertos y variables centralizadas en .env, guia de arranque en babyexplication.md). No estan definidos entornos diferenciados de pruebas ni produccion (dominios, HTTPS, recursos, respaldos y variables por entorno).</t>
  </si>
  <si>
    <t xml:space="preserve">No existe .github/workflows/ ni archivos de pipeline (Jenkinsfile, .gitlab-ci.yml, azure-pipelines.yml) en el repositorio</t>
  </si>
  <si>
    <t xml:space="preserve">No hay pipeline de Integracion Continua configurado. Se recomienda crear un workflow de GitHub Actions que ejecute, en cada pull request: lint (ESLint/Python), pruebas unitarias, build de frontend y validacion de migraciones de Alembic.</t>
  </si>
  <si>
    <t xml:space="preserve">backend/app/services/authentication/JWTService.py y AuthService.py; backend/app/middleware/AuthMiddleware.py (RBAC); backend/app/utils/Security.py (bcrypt); backend/app/Config.py (os.getenv); .gitignore (ignora .env) y .env.example; Docs/RNFs/RNF-003, RNF-004, RNF-005</t>
  </si>
  <si>
    <t xml:space="preserve">Autenticacion con JWT y refresh tokens, contraseñas con bcrypt, autorizacion por roles en middleware y manejo de secretos por variables de entorno (.env ignorado por Git; solo se versiona .env.example sin valores reales). Pendiente de verificacion: rate limiting en login (PNF-007).</t>
  </si>
  <si>
    <t xml:space="preserve">Docs/RNFs/RNF-002 (concurrencia), RNF-006 (escalabilidad horizontal), RNF-007 (crecimiento de datos), RNF-008 (disponibilidad); Docs/Pruebas_No_Funcionales.txt (PNF-001, PNF-002, PNF-019); babyexplication.md (limite diario de envios de Gmail); backend/app/middleware/CorsMiddleware.py</t>
  </si>
  <si>
    <t xml:space="preserve">Cuellos de botella y riesgos de integracion identificados de forma preliminar: tiempos de respuesta del API y del frontend, concurrencia, escalabilidad, limite diario de correos SMTP y dependencia entre servicios Docker. Falta una matriz formal de riesgos con probabilidad, impacto, responsable y plan de mitigacion.</t>
  </si>
  <si>
    <t xml:space="preserve">No se encontro documento de plan de contingencia en Docs/ ni en backend/app/docs/ (solo existe el requisito Docs/RNFs/RNF-009 - Recuperación ante fallos.md)</t>
  </si>
  <si>
    <t xml:space="preserve">Existe el requisito RNF-009 de recuperacion ante fallos, pero no hay plan de contingencia para fallas criticas (PostgreSQL, MinIO, Gmail SMTP, API). Se recomienda elaborarlo definiendo escenarios, acciones inmediatas, tiempos de recuperacion (RTO/RPO), respaldos y responsable.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</si>
</sst>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2C3E50"/>
      <name val="Calibri"/>
      <family val="2"/>
    </font>
    <font>
      <i/>
      <sz val="11"/>
      <color rgb="FF7F8C8D"/>
      <name val="Calibri"/>
      <family val="2"/>
    </font>
    <font>
      <b/>
      <sz val="11"/>
      <color rgb="FFFFFFFF"/>
      <name val="Calibri"/>
      <family val="2"/>
    </font>
    <font>
      <b/>
      <sz val="11"/>
      <color rgb="FF2C3E5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EAECEE"/>
        <b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Progreso de Planeación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y Métricas'!$B$4</c:f>
              <c:strCache>
                <c:ptCount val="1"/>
                <c:pt idx="0">
                  <c:v>Cantidad de Ítems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y Métricas'!$A$5:$A$8</c:f>
              <c:strCache>
                <c:ptCount val="4"/>
                <c:pt idx="0">
                  <c:v>Completado</c:v>
                </c:pt>
                <c:pt idx="1">
                  <c:v>En Proceso</c:v>
                </c:pt>
                <c:pt idx="2">
                  <c:v>Pendiente</c:v>
                </c:pt>
                <c:pt idx="3">
                  <c:v>No Aplica</c:v>
                </c:pt>
              </c:strCache>
            </c:strRef>
          </c:cat>
          <c:val>
            <c:numRef>
              <c:f>'Resumen y Métricas'!$B$5:$B$8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F-4F07-97AA-BDF5E59EE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Cantidad de Ítems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30" zoomScaleNormal="130" workbookViewId="0">
      <selection activeCell="E8" sqref="E8"/>
    </sheetView>
  </sheetViews>
  <sheetFormatPr baseColWidth="10" defaultColWidth="9.140625" defaultRowHeight="15" x14ac:dyDescent="0.25"/>
  <cols>
    <col min="1" max="1" width="24" customWidth="1"/>
    <col min="2" max="2" width="50" customWidth="1"/>
    <col min="3" max="3" width="16" customWidth="1"/>
    <col min="4" max="4" width="20" customWidth="1"/>
    <col min="5" max="5" width="35" customWidth="1"/>
    <col min="6" max="6" width="23.85546875" customWidth="1"/>
  </cols>
  <sheetData>
    <row r="1" spans="1:6" ht="21" x14ac:dyDescent="0.35">
      <c r="A1" s="1" t="s">
        <v>0</v>
      </c>
      <c r="E1" s="17"/>
      <c r="F1" s="16" t="s">
        <v>41</v>
      </c>
    </row>
    <row r="2" spans="1:6" x14ac:dyDescent="0.25">
      <c r="A2" s="2" t="s">
        <v>1</v>
      </c>
      <c r="E2" s="17"/>
      <c r="F2" s="16"/>
    </row>
    <row r="3" spans="1:6" x14ac:dyDescent="0.25">
      <c r="A3" s="2" t="s">
        <v>39</v>
      </c>
      <c r="B3" s="2" t="s">
        <v>45</v>
      </c>
      <c r="E3" s="17"/>
      <c r="F3" s="16"/>
    </row>
    <row r="4" spans="1:6" x14ac:dyDescent="0.25">
      <c r="A4" s="2" t="s">
        <v>40</v>
      </c>
      <c r="B4" s="2" t="s">
        <v>46</v>
      </c>
      <c r="E4" s="17"/>
      <c r="F4" s="16"/>
    </row>
    <row r="5" spans="1:6" x14ac:dyDescent="0.25">
      <c r="E5" s="17"/>
      <c r="F5" s="16"/>
    </row>
    <row r="6" spans="1:6" ht="30" x14ac:dyDescent="0.25">
      <c r="A6" s="3" t="s">
        <v>2</v>
      </c>
      <c r="B6" s="3" t="s">
        <v>3</v>
      </c>
      <c r="C6" s="3" t="s">
        <v>4</v>
      </c>
      <c r="D6" s="3" t="s">
        <v>43</v>
      </c>
      <c r="E6" s="3" t="s">
        <v>44</v>
      </c>
      <c r="F6" s="3" t="s">
        <v>42</v>
      </c>
    </row>
    <row r="7" spans="1:6" x14ac:dyDescent="0.25">
      <c r="A7" s="14" t="s">
        <v>5</v>
      </c>
      <c r="B7" s="15"/>
      <c r="C7" s="15"/>
      <c r="D7" s="15"/>
      <c r="E7" s="15"/>
      <c r="F7" s="4"/>
    </row>
    <row r="8" spans="1:6" ht="25.5" x14ac:dyDescent="0.25">
      <c r="A8" s="5" t="s">
        <v>6</v>
      </c>
      <c r="B8" s="6" t="s">
        <v>7</v>
      </c>
      <c r="C8" s="7" t="s">
        <v>35</v>
      </c>
      <c r="D8" s="5"/>
      <c r="E8" s="5" t="s">
        <v>47</v>
      </c>
      <c r="F8" s="5" t="s">
        <v>48</v>
      </c>
    </row>
    <row r="9" spans="1:6" ht="25.5" x14ac:dyDescent="0.25">
      <c r="A9" s="5" t="s">
        <v>6</v>
      </c>
      <c r="B9" s="6" t="s">
        <v>9</v>
      </c>
      <c r="C9" s="7" t="s">
        <v>35</v>
      </c>
      <c r="D9" s="5"/>
      <c r="E9" s="5" t="s">
        <v>49</v>
      </c>
      <c r="F9" s="5" t="s">
        <v>50</v>
      </c>
    </row>
    <row r="10" spans="1:6" ht="25.5" x14ac:dyDescent="0.25">
      <c r="A10" s="5" t="s">
        <v>6</v>
      </c>
      <c r="B10" s="6" t="s">
        <v>10</v>
      </c>
      <c r="C10" s="7" t="s">
        <v>36</v>
      </c>
      <c r="D10" s="5"/>
      <c r="E10" s="5" t="s">
        <v>51</v>
      </c>
      <c r="F10" s="5" t="s">
        <v>52</v>
      </c>
    </row>
    <row r="11" spans="1:6" x14ac:dyDescent="0.25">
      <c r="A11" s="14" t="s">
        <v>11</v>
      </c>
      <c r="B11" s="15"/>
      <c r="C11" s="15"/>
      <c r="D11" s="15"/>
      <c r="E11" s="15"/>
      <c r="F11" s="4"/>
    </row>
    <row r="12" spans="1:6" ht="25.5" x14ac:dyDescent="0.25">
      <c r="A12" s="5" t="s">
        <v>12</v>
      </c>
      <c r="B12" s="6" t="s">
        <v>13</v>
      </c>
      <c r="C12" s="7" t="s">
        <v>35</v>
      </c>
      <c r="D12" s="5"/>
      <c r="E12" s="5" t="s">
        <v>53</v>
      </c>
      <c r="F12" s="5" t="s">
        <v>54</v>
      </c>
    </row>
    <row r="13" spans="1:6" ht="25.5" x14ac:dyDescent="0.25">
      <c r="A13" s="5" t="s">
        <v>12</v>
      </c>
      <c r="B13" s="6" t="s">
        <v>14</v>
      </c>
      <c r="C13" s="7" t="s">
        <v>35</v>
      </c>
      <c r="D13" s="5"/>
      <c r="E13" s="5" t="s">
        <v>55</v>
      </c>
      <c r="F13" s="5" t="s">
        <v>56</v>
      </c>
    </row>
    <row r="14" spans="1:6" ht="25.5" x14ac:dyDescent="0.25">
      <c r="A14" s="5" t="s">
        <v>12</v>
      </c>
      <c r="B14" s="6" t="s">
        <v>15</v>
      </c>
      <c r="C14" s="7" t="s">
        <v>36</v>
      </c>
      <c r="D14" s="5"/>
      <c r="E14" s="5" t="s">
        <v>57</v>
      </c>
      <c r="F14" s="5" t="s">
        <v>58</v>
      </c>
    </row>
    <row r="15" spans="1:6" x14ac:dyDescent="0.25">
      <c r="A15" s="14" t="s">
        <v>16</v>
      </c>
      <c r="B15" s="15"/>
      <c r="C15" s="15"/>
      <c r="D15" s="15"/>
      <c r="E15" s="15"/>
      <c r="F15" s="4"/>
    </row>
    <row r="16" spans="1:6" ht="25.5" x14ac:dyDescent="0.25">
      <c r="A16" s="5" t="s">
        <v>17</v>
      </c>
      <c r="B16" s="6" t="s">
        <v>18</v>
      </c>
      <c r="C16" s="7" t="s">
        <v>36</v>
      </c>
      <c r="D16" s="5"/>
      <c r="E16" s="5" t="s">
        <v>59</v>
      </c>
      <c r="F16" s="5" t="s">
        <v>60</v>
      </c>
    </row>
    <row r="17" spans="1:6" ht="25.5" x14ac:dyDescent="0.25">
      <c r="A17" s="5" t="s">
        <v>17</v>
      </c>
      <c r="B17" s="6" t="s">
        <v>19</v>
      </c>
      <c r="C17" s="7" t="s">
        <v>36</v>
      </c>
      <c r="D17" s="5"/>
      <c r="E17" s="5" t="s">
        <v>61</v>
      </c>
      <c r="F17" s="5" t="s">
        <v>62</v>
      </c>
    </row>
    <row r="18" spans="1:6" ht="25.5" x14ac:dyDescent="0.25">
      <c r="A18" s="5" t="s">
        <v>17</v>
      </c>
      <c r="B18" s="6" t="s">
        <v>20</v>
      </c>
      <c r="C18" s="7" t="s">
        <v>36</v>
      </c>
      <c r="D18" s="5"/>
      <c r="E18" s="5" t="s">
        <v>63</v>
      </c>
      <c r="F18" s="5" t="s">
        <v>64</v>
      </c>
    </row>
    <row r="19" spans="1:6" x14ac:dyDescent="0.25">
      <c r="A19" s="14" t="s">
        <v>21</v>
      </c>
      <c r="B19" s="15"/>
      <c r="C19" s="15"/>
      <c r="D19" s="15"/>
      <c r="E19" s="15"/>
      <c r="F19" s="4"/>
    </row>
    <row r="20" spans="1:6" ht="25.5" x14ac:dyDescent="0.25">
      <c r="A20" s="5" t="s">
        <v>22</v>
      </c>
      <c r="B20" s="6" t="s">
        <v>23</v>
      </c>
      <c r="C20" s="7" t="s">
        <v>35</v>
      </c>
      <c r="D20" s="5"/>
      <c r="E20" s="5" t="s">
        <v>65</v>
      </c>
      <c r="F20" s="5" t="s">
        <v>66</v>
      </c>
    </row>
    <row r="21" spans="1:6" ht="25.5" x14ac:dyDescent="0.25">
      <c r="A21" s="5" t="s">
        <v>22</v>
      </c>
      <c r="B21" s="6" t="s">
        <v>24</v>
      </c>
      <c r="C21" s="7" t="s">
        <v>36</v>
      </c>
      <c r="D21" s="5"/>
      <c r="E21" s="5" t="s">
        <v>67</v>
      </c>
      <c r="F21" s="5" t="s">
        <v>68</v>
      </c>
    </row>
    <row r="22" spans="1:6" ht="25.5" x14ac:dyDescent="0.25">
      <c r="A22" s="5" t="s">
        <v>22</v>
      </c>
      <c r="B22" s="6" t="s">
        <v>25</v>
      </c>
      <c r="C22" s="7" t="s">
        <v>8</v>
      </c>
      <c r="D22" s="5"/>
      <c r="E22" s="5" t="s">
        <v>69</v>
      </c>
      <c r="F22" s="5" t="s">
        <v>70</v>
      </c>
    </row>
    <row r="23" spans="1:6" x14ac:dyDescent="0.25">
      <c r="A23" s="14" t="s">
        <v>26</v>
      </c>
      <c r="B23" s="15"/>
      <c r="C23" s="15"/>
      <c r="D23" s="15"/>
      <c r="E23" s="15"/>
      <c r="F23" s="4"/>
    </row>
    <row r="24" spans="1:6" ht="25.5" x14ac:dyDescent="0.25">
      <c r="A24" s="5" t="s">
        <v>27</v>
      </c>
      <c r="B24" s="6" t="s">
        <v>28</v>
      </c>
      <c r="C24" s="7" t="s">
        <v>35</v>
      </c>
      <c r="D24" s="5"/>
      <c r="E24" s="5" t="s">
        <v>71</v>
      </c>
      <c r="F24" s="5" t="s">
        <v>72</v>
      </c>
    </row>
    <row r="25" spans="1:6" ht="25.5" x14ac:dyDescent="0.25">
      <c r="A25" s="5" t="s">
        <v>27</v>
      </c>
      <c r="B25" s="6" t="s">
        <v>29</v>
      </c>
      <c r="C25" s="7" t="s">
        <v>36</v>
      </c>
      <c r="D25" s="5"/>
      <c r="E25" s="5" t="s">
        <v>73</v>
      </c>
      <c r="F25" s="5" t="s">
        <v>74</v>
      </c>
    </row>
    <row r="26" spans="1:6" ht="25.5" x14ac:dyDescent="0.25">
      <c r="A26" s="5" t="s">
        <v>27</v>
      </c>
      <c r="B26" s="6" t="s">
        <v>30</v>
      </c>
      <c r="C26" s="7" t="s">
        <v>8</v>
      </c>
      <c r="D26" s="5"/>
      <c r="E26" s="5" t="s">
        <v>75</v>
      </c>
      <c r="F26" s="5" t="s">
        <v>76</v>
      </c>
    </row>
  </sheetData>
  <mergeCells count="6">
    <mergeCell ref="F1:F5"/>
    <mergeCell ref="A23:E23"/>
    <mergeCell ref="A7:E7"/>
    <mergeCell ref="A15:E15"/>
    <mergeCell ref="A19:E19"/>
    <mergeCell ref="A11:E11"/>
  </mergeCells>
  <dataValidations count="1">
    <dataValidation type="list" allowBlank="1" sqref="C8 C9 C10 C12 C13 C14 C16 C17 C18 C20 C21 C22 C24 C25 C26" xr:uid="{00000000-0002-0000-0000-000000000000}">
      <formula1>"Pendiente, En Proceso, Completado, 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9.140625" defaultRowHeight="15" x14ac:dyDescent="0.25"/>
  <cols>
    <col min="1" max="1" width="22" customWidth="1"/>
    <col min="2" max="2" width="20" customWidth="1"/>
    <col min="3" max="3" width="18" customWidth="1"/>
  </cols>
  <sheetData>
    <row r="1" spans="1:3" ht="21" x14ac:dyDescent="0.35">
      <c r="A1" s="1" t="s">
        <v>31</v>
      </c>
    </row>
    <row r="2" spans="1:3" x14ac:dyDescent="0.25">
      <c r="A2" s="2" t="s">
        <v>32</v>
      </c>
    </row>
    <row r="4" spans="1:3" x14ac:dyDescent="0.25">
      <c r="A4" s="8" t="s">
        <v>4</v>
      </c>
      <c r="B4" s="8" t="s">
        <v>33</v>
      </c>
      <c r="C4" s="8" t="s">
        <v>34</v>
      </c>
    </row>
    <row r="5" spans="1:3" x14ac:dyDescent="0.25">
      <c r="A5" s="9" t="s">
        <v>35</v>
      </c>
      <c r="B5" s="7">
        <f>COUNTIF('Lista de Chequeo Técnico'!$C$8:$C$26, "Completado")</f>
        <v>5</v>
      </c>
      <c r="C5" s="10">
        <f>B5/COUNTA('Lista de Chequeo Técnico'!$B$8:$B$26)</f>
        <v>0.33333333333333331</v>
      </c>
    </row>
    <row r="6" spans="1:3" x14ac:dyDescent="0.25">
      <c r="A6" s="9" t="s">
        <v>36</v>
      </c>
      <c r="B6" s="7">
        <f>COUNTIF('Lista de Chequeo Técnico'!$C$8:$C$26, "En Proceso")</f>
        <v>8</v>
      </c>
      <c r="C6" s="10">
        <f>B6/COUNTA('Lista de Chequeo Técnico'!$B$8:$B$26)</f>
        <v>0.53333333333333333</v>
      </c>
    </row>
    <row r="7" spans="1:3" x14ac:dyDescent="0.25">
      <c r="A7" s="9" t="s">
        <v>8</v>
      </c>
      <c r="B7" s="7">
        <f>COUNTIF('Lista de Chequeo Técnico'!$C$8:$C$26, "Pendiente")</f>
        <v>2</v>
      </c>
      <c r="C7" s="10">
        <f>B7/COUNTA('Lista de Chequeo Técnico'!$B$8:$B$26)</f>
        <v>0.13333333333333333</v>
      </c>
    </row>
    <row r="8" spans="1:3" x14ac:dyDescent="0.25">
      <c r="A8" s="9" t="s">
        <v>37</v>
      </c>
      <c r="B8" s="7">
        <f>COUNTIF('Lista de Chequeo Técnico'!$C$8:$C$26, "No Aplica")</f>
        <v>0</v>
      </c>
      <c r="C8" s="10">
        <f>B8/COUNTA('Lista de Chequeo Técnico'!$B$8:$B$26)</f>
        <v>0</v>
      </c>
    </row>
    <row r="9" spans="1:3" x14ac:dyDescent="0.25">
      <c r="A9" s="11" t="s">
        <v>38</v>
      </c>
      <c r="B9" s="12">
        <f>SUM(B5:B8)</f>
        <v>15</v>
      </c>
      <c r="C9" s="13">
        <f>SUM(C5:C8)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Chequeo Técnico</vt:lpstr>
      <vt:lpstr>Resumen y 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42_93031079533</cp:lastModifiedBy>
  <dcterms:created xsi:type="dcterms:W3CDTF">2026-10-09T21:08:29Z</dcterms:created>
  <dcterms:modified xsi:type="dcterms:W3CDTF">2026-10-10T15:26:02Z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2026-10-10T13:09:55Z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a58ac415-7b14-4171-9b12-d9022548d49a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